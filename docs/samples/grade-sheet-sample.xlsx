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<sst xmlns="http://schemas.openxmlformats.org/spreadsheetml/2006/main" uniqueCount="55">
  <si>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[machine-readable — do not edit]</t>
  </si>
  <si>
    <t>eddb3e54dc883a7620bf719e3afa6e51</t>
  </si>
  <si>
    <t>student_id</t>
  </si>
  <si>
    <t>student_number</t>
  </si>
  <si>
    <t>student_name</t>
  </si>
  <si>
    <t>item:1</t>
  </si>
  <si>
    <t>item:4</t>
  </si>
  <si>
    <t>item:2</t>
  </si>
  <si>
    <t>item:3</t>
  </si>
  <si>
    <t>item:11</t>
  </si>
  <si>
    <t>category:3</t>
  </si>
  <si>
    <t>category:4</t>
  </si>
  <si>
    <t>category:11</t>
  </si>
  <si>
    <t>final</t>
  </si>
  <si>
    <t>grade</t>
  </si>
  <si>
    <t>remarks</t>
  </si>
  <si>
    <t>row_hash</t>
  </si>
  <si>
    <t>ID (do not edit)</t>
  </si>
  <si>
    <t>Student Number</t>
  </si>
  <si>
    <t>Student Name</t>
  </si>
  <si>
    <t>Course Pre-Test (/10) [locked]</t>
  </si>
  <si>
    <t>Quiz 1: Variables and Data Types (/20) [locked]</t>
  </si>
  <si>
    <t>Assignment 1: Grade Calculator (/30) [locked]</t>
  </si>
  <si>
    <t>Lab 1: Designing a Table (/20) [locked]</t>
  </si>
  <si>
    <t>Class Participation (/10)</t>
  </si>
  <si>
    <t>Quizzes % (40%)</t>
  </si>
  <si>
    <t>Assignments % (40%)</t>
  </si>
  <si>
    <t>Participation % (20%)</t>
  </si>
  <si>
    <t>Final %</t>
  </si>
  <si>
    <t>Grade</t>
  </si>
  <si>
    <t>Remarks</t>
  </si>
  <si>
    <t>Check (do not edit)</t>
  </si>
  <si>
    <t>2026-05003</t>
  </si>
  <si>
    <t>Cruz, Angela</t>
  </si>
  <si>
    <t>7afbc23472c265f0</t>
  </si>
  <si>
    <t>2026-02000</t>
  </si>
  <si>
    <t>Dela Cruz, Juan</t>
  </si>
  <si>
    <t>dd04d16ace2466c9</t>
  </si>
  <si>
    <t>2026-03001</t>
  </si>
  <si>
    <t>Reyes, Pedro</t>
  </si>
  <si>
    <t>4b83ed6989144641</t>
  </si>
  <si>
    <t>2026-04002</t>
  </si>
  <si>
    <t>Santos, Maria</t>
  </si>
  <si>
    <t>81e3ec8a2a624798</t>
  </si>
  <si>
    <t>2026-06004</t>
  </si>
  <si>
    <t>Villanueva, Michael</t>
  </si>
  <si>
    <t>d6745ecb7ed6a8de</t>
  </si>
  <si>
    <t>Mentora grade sheet</t>
  </si>
  <si>
    <t>Only the columns with a light-yellow header are editable: scores for manual items such as Attendance or Participation.</t>
  </si>
  <si>
    <t>Quiz and assignment scores are locked — they come from grading in Mentora and are updated there.</t>
  </si>
  <si>
    <t>Category %, Final %, Grade and Remarks recalculate as you type, using this section's grading scheme.</t>
  </si>
  <si>
    <t>Leave a score blank if it isn't graded yet; a blank doesn't count against the student.</t>
  </si>
  <si>
    <t>Don't add, remove, reorder or rename columns or rows, and don't edit the grey cells — the import checks this and flags any row that was changed.</t>
  </si>
  <si>
    <t>If the grading scheme changes after you export (weights, categories, items or points), export a fresh sheet — an older one will be refused.</t>
  </si>
  <si>
    <t>Template: eddb3e54dc883a7620bf719e3afa6e51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</si>
</sst>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8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2" borderId="0" applyFont="0" applyNumberFormat="0" applyFill="1" applyBorder="0" applyAlignment="0"/>
    <xf xfId="0" fontId="0" numFmtId="0" fillId="0" borderId="0" applyFont="0" applyNumberFormat="0" applyFill="0" applyBorder="0" applyAlignment="0" applyProtection="true">
      <protection locked="false"/>
    </xf>
    <xf xfId="0" fontId="1" numFmtId="0" fillId="3" borderId="0" applyFont="1" applyNumberFormat="0" applyFill="1" applyBorder="0" applyAlignment="1">
      <alignment vertical="bottom" textRotation="0" wrapText="true" shrinkToFit="false"/>
    </xf>
    <xf xfId="0" fontId="0" numFmtId="2" fillId="2" borderId="0" applyFont="0" applyNumberFormat="1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8"/>
  <sheetViews>
    <sheetView tabSelected="1" workbookViewId="0" showGridLines="true" showRowColHeaders="1">
      <pane xSplit="3" ySplit="3" activePane="bottomRight" state="frozen" topLeftCell="D4"/>
      <selection pane="bottomRight" activeCell="O4" sqref="O4:O8"/>
    </sheetView>
  </sheetViews>
  <sheetFormatPr defaultRowHeight="14.4" outlineLevelRow="0" outlineLevelCol="0"/>
  <cols>
    <col min="1" max="1" width="14" hidden="true" customWidth="true" style="0"/>
    <col min="2" max="2" width="16" customWidth="true" style="0"/>
    <col min="3" max="3" width="28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hidden="true" customWidth="true" style="0"/>
  </cols>
  <sheetData>
    <row r="1" spans="1:15" hidden="true">
      <c r="A1" t="s">
        <v>0</v>
      </c>
      <c r="B1" t="s">
        <v>1</v>
      </c>
    </row>
    <row r="2" spans="1:15" hidden="true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</row>
    <row r="3" spans="1:15" customHeight="1" ht="4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4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</row>
    <row r="4" spans="1:15">
      <c r="A4" s="2">
        <v>4</v>
      </c>
      <c r="B4" s="2" t="s">
        <v>32</v>
      </c>
      <c r="C4" s="2" t="s">
        <v>33</v>
      </c>
      <c r="D4" s="2">
        <v>4.0</v>
      </c>
      <c r="E4" s="2"/>
      <c r="F4" s="2"/>
      <c r="G4" s="2"/>
      <c r="H4" s="3">
        <v>6.0</v>
      </c>
      <c r="I4" s="5">
        <f>IF((IF(ISNUMBER(D4),10,0)+IF(ISNUMBER(E4),20,0))=0,"",SUM(D4,E4)/(IF(ISNUMBER(D4),10,0)+IF(ISNUMBER(E4),20,0))*100)</f>
        <v>40</v>
      </c>
      <c r="J4" s="5" t="str">
        <f>IF((IF(ISNUMBER(F4),30,0)+IF(ISNUMBER(G4),20,0))=0,"",SUM(F4,G4)/(IF(ISNUMBER(F4),30,0)+IF(ISNUMBER(G4),20,0))*100)</f>
        <v/>
      </c>
      <c r="K4" s="5">
        <f>IF((IF(ISNUMBER(H4),10,0))=0,"",SUM(H4)/(IF(ISNUMBER(H4),10,0))*100)</f>
        <v>60</v>
      </c>
      <c r="L4" s="5">
        <f>IF((IF(ISNUMBER(I4),40,0)+IF(ISNUMBER(J4),40,0)+IF(ISNUMBER(K4),20,0))=0,"",ROUND((IF(ISNUMBER(I4),I4*40,0)+IF(ISNUMBER(J4),J4*40,0)+IF(ISNUMBER(K4),K4*20,0))/(IF(ISNUMBER(I4),40,0)+IF(ISNUMBER(J4),40,0)+IF(ISNUMBER(K4),20,0)),2))</f>
        <v>46.67</v>
      </c>
      <c r="M4" s="2" t="str">
        <f>IF(L4="","",IF(L4&gt;=97,"1.00",IF(L4&gt;=94,"1.25",IF(L4&gt;=91,"1.50",IF(L4&gt;=88,"1.75",IF(L4&gt;=85,"2.00",IF(L4&gt;=82,"2.25",IF(L4&gt;=79,"2.50",IF(L4&gt;=76,"2.75",IF(L4&gt;=75,"3.00","5.00"))))))))))</f>
        <v>5.00</v>
      </c>
      <c r="N4" s="2" t="str">
        <f>IF(L4="","Incomplete",IF(L4&gt;=75,"Passed","Failed"))</f>
        <v>Failed</v>
      </c>
      <c r="O4" s="2" t="s">
        <v>34</v>
      </c>
    </row>
    <row r="5" spans="1:15">
      <c r="A5" s="2">
        <v>1</v>
      </c>
      <c r="B5" s="2" t="s">
        <v>35</v>
      </c>
      <c r="C5" s="2" t="s">
        <v>36</v>
      </c>
      <c r="D5" s="2">
        <v>8.0</v>
      </c>
      <c r="E5" s="2">
        <v>19.0</v>
      </c>
      <c r="F5" s="2">
        <v>27.0</v>
      </c>
      <c r="G5" s="2"/>
      <c r="H5" s="3">
        <v>9.0</v>
      </c>
      <c r="I5" s="5">
        <f>IF((IF(ISNUMBER(D5),10,0)+IF(ISNUMBER(E5),20,0))=0,"",SUM(D5,E5)/(IF(ISNUMBER(D5),10,0)+IF(ISNUMBER(E5),20,0))*100)</f>
        <v>90</v>
      </c>
      <c r="J5" s="5">
        <f>IF((IF(ISNUMBER(F5),30,0)+IF(ISNUMBER(G5),20,0))=0,"",SUM(F5,G5)/(IF(ISNUMBER(F5),30,0)+IF(ISNUMBER(G5),20,0))*100)</f>
        <v>90</v>
      </c>
      <c r="K5" s="5">
        <f>IF((IF(ISNUMBER(H5),10,0))=0,"",SUM(H5)/(IF(ISNUMBER(H5),10,0))*100)</f>
        <v>90</v>
      </c>
      <c r="L5" s="5">
        <f>IF((IF(ISNUMBER(I5),40,0)+IF(ISNUMBER(J5),40,0)+IF(ISNUMBER(K5),20,0))=0,"",ROUND((IF(ISNUMBER(I5),I5*40,0)+IF(ISNUMBER(J5),J5*40,0)+IF(ISNUMBER(K5),K5*20,0))/(IF(ISNUMBER(I5),40,0)+IF(ISNUMBER(J5),40,0)+IF(ISNUMBER(K5),20,0)),2))</f>
        <v>90</v>
      </c>
      <c r="M5" s="2" t="str">
        <f>IF(L5="","",IF(L5&gt;=97,"1.00",IF(L5&gt;=94,"1.25",IF(L5&gt;=91,"1.50",IF(L5&gt;=88,"1.75",IF(L5&gt;=85,"2.00",IF(L5&gt;=82,"2.25",IF(L5&gt;=79,"2.50",IF(L5&gt;=76,"2.75",IF(L5&gt;=75,"3.00","5.00"))))))))))</f>
        <v>1.75</v>
      </c>
      <c r="N5" s="2" t="str">
        <f>IF(L5="","Incomplete",IF(L5&gt;=75,"Passed","Failed"))</f>
        <v>Passed</v>
      </c>
      <c r="O5" s="2" t="s">
        <v>37</v>
      </c>
    </row>
    <row r="6" spans="1:15">
      <c r="A6" s="2">
        <v>2</v>
      </c>
      <c r="B6" s="2" t="s">
        <v>38</v>
      </c>
      <c r="C6" s="2" t="s">
        <v>39</v>
      </c>
      <c r="D6" s="2">
        <v>10.0</v>
      </c>
      <c r="E6" s="2"/>
      <c r="F6" s="2">
        <v>18.0</v>
      </c>
      <c r="G6" s="2"/>
      <c r="H6" s="3">
        <v>8.0</v>
      </c>
      <c r="I6" s="5">
        <f>IF((IF(ISNUMBER(D6),10,0)+IF(ISNUMBER(E6),20,0))=0,"",SUM(D6,E6)/(IF(ISNUMBER(D6),10,0)+IF(ISNUMBER(E6),20,0))*100)</f>
        <v>100</v>
      </c>
      <c r="J6" s="5">
        <f>IF((IF(ISNUMBER(F6),30,0)+IF(ISNUMBER(G6),20,0))=0,"",SUM(F6,G6)/(IF(ISNUMBER(F6),30,0)+IF(ISNUMBER(G6),20,0))*100)</f>
        <v>60</v>
      </c>
      <c r="K6" s="5">
        <f>IF((IF(ISNUMBER(H6),10,0))=0,"",SUM(H6)/(IF(ISNUMBER(H6),10,0))*100)</f>
        <v>80</v>
      </c>
      <c r="L6" s="5">
        <f>IF((IF(ISNUMBER(I6),40,0)+IF(ISNUMBER(J6),40,0)+IF(ISNUMBER(K6),20,0))=0,"",ROUND((IF(ISNUMBER(I6),I6*40,0)+IF(ISNUMBER(J6),J6*40,0)+IF(ISNUMBER(K6),K6*20,0))/(IF(ISNUMBER(I6),40,0)+IF(ISNUMBER(J6),40,0)+IF(ISNUMBER(K6),20,0)),2))</f>
        <v>80</v>
      </c>
      <c r="M6" s="2" t="str">
        <f>IF(L6="","",IF(L6&gt;=97,"1.00",IF(L6&gt;=94,"1.25",IF(L6&gt;=91,"1.50",IF(L6&gt;=88,"1.75",IF(L6&gt;=85,"2.00",IF(L6&gt;=82,"2.25",IF(L6&gt;=79,"2.50",IF(L6&gt;=76,"2.75",IF(L6&gt;=75,"3.00","5.00"))))))))))</f>
        <v>2.50</v>
      </c>
      <c r="N6" s="2" t="str">
        <f>IF(L6="","Incomplete",IF(L6&gt;=75,"Passed","Failed"))</f>
        <v>Passed</v>
      </c>
      <c r="O6" s="2" t="s">
        <v>40</v>
      </c>
    </row>
    <row r="7" spans="1:15">
      <c r="A7" s="2">
        <v>3</v>
      </c>
      <c r="B7" s="2" t="s">
        <v>41</v>
      </c>
      <c r="C7" s="2" t="s">
        <v>42</v>
      </c>
      <c r="D7" s="2">
        <v>8.0</v>
      </c>
      <c r="E7" s="2"/>
      <c r="F7" s="2"/>
      <c r="G7" s="2"/>
      <c r="H7" s="3">
        <v>7.5</v>
      </c>
      <c r="I7" s="5">
        <f>IF((IF(ISNUMBER(D7),10,0)+IF(ISNUMBER(E7),20,0))=0,"",SUM(D7,E7)/(IF(ISNUMBER(D7),10,0)+IF(ISNUMBER(E7),20,0))*100)</f>
        <v>80</v>
      </c>
      <c r="J7" s="5" t="str">
        <f>IF((IF(ISNUMBER(F7),30,0)+IF(ISNUMBER(G7),20,0))=0,"",SUM(F7,G7)/(IF(ISNUMBER(F7),30,0)+IF(ISNUMBER(G7),20,0))*100)</f>
        <v/>
      </c>
      <c r="K7" s="5">
        <f>IF((IF(ISNUMBER(H7),10,0))=0,"",SUM(H7)/(IF(ISNUMBER(H7),10,0))*100)</f>
        <v>75</v>
      </c>
      <c r="L7" s="5">
        <f>IF((IF(ISNUMBER(I7),40,0)+IF(ISNUMBER(J7),40,0)+IF(ISNUMBER(K7),20,0))=0,"",ROUND((IF(ISNUMBER(I7),I7*40,0)+IF(ISNUMBER(J7),J7*40,0)+IF(ISNUMBER(K7),K7*20,0))/(IF(ISNUMBER(I7),40,0)+IF(ISNUMBER(J7),40,0)+IF(ISNUMBER(K7),20,0)),2))</f>
        <v>78.33</v>
      </c>
      <c r="M7" s="2" t="str">
        <f>IF(L7="","",IF(L7&gt;=97,"1.00",IF(L7&gt;=94,"1.25",IF(L7&gt;=91,"1.50",IF(L7&gt;=88,"1.75",IF(L7&gt;=85,"2.00",IF(L7&gt;=82,"2.25",IF(L7&gt;=79,"2.50",IF(L7&gt;=76,"2.75",IF(L7&gt;=75,"3.00","5.00"))))))))))</f>
        <v>2.75</v>
      </c>
      <c r="N7" s="2" t="str">
        <f>IF(L7="","Incomplete",IF(L7&gt;=75,"Passed","Failed"))</f>
        <v>Passed</v>
      </c>
      <c r="O7" s="2" t="s">
        <v>43</v>
      </c>
    </row>
    <row r="8" spans="1:15">
      <c r="A8" s="2">
        <v>5</v>
      </c>
      <c r="B8" s="2" t="s">
        <v>44</v>
      </c>
      <c r="C8" s="2" t="s">
        <v>45</v>
      </c>
      <c r="D8" s="2"/>
      <c r="E8" s="2"/>
      <c r="F8" s="2"/>
      <c r="G8" s="2"/>
      <c r="H8" s="3"/>
      <c r="I8" s="5" t="str">
        <f>IF((IF(ISNUMBER(D8),10,0)+IF(ISNUMBER(E8),20,0))=0,"",SUM(D8,E8)/(IF(ISNUMBER(D8),10,0)+IF(ISNUMBER(E8),20,0))*100)</f>
        <v/>
      </c>
      <c r="J8" s="5" t="str">
        <f>IF((IF(ISNUMBER(F8),30,0)+IF(ISNUMBER(G8),20,0))=0,"",SUM(F8,G8)/(IF(ISNUMBER(F8),30,0)+IF(ISNUMBER(G8),20,0))*100)</f>
        <v/>
      </c>
      <c r="K8" s="5" t="str">
        <f>IF((IF(ISNUMBER(H8),10,0))=0,"",SUM(H8)/(IF(ISNUMBER(H8),10,0))*100)</f>
        <v/>
      </c>
      <c r="L8" s="5" t="str">
        <f>IF((IF(ISNUMBER(I8),40,0)+IF(ISNUMBER(J8),40,0)+IF(ISNUMBER(K8),20,0))=0,"",ROUND((IF(ISNUMBER(I8),I8*40,0)+IF(ISNUMBER(J8),J8*40,0)+IF(ISNUMBER(K8),K8*20,0))/(IF(ISNUMBER(I8),40,0)+IF(ISNUMBER(J8),40,0)+IF(ISNUMBER(K8),20,0)),2))</f>
        <v/>
      </c>
      <c r="M8" s="2" t="str">
        <f>IF(L8="","",IF(L8&gt;=97,"1.00",IF(L8&gt;=94,"1.25",IF(L8&gt;=91,"1.50",IF(L8&gt;=88,"1.75",IF(L8&gt;=85,"2.00",IF(L8&gt;=82,"2.25",IF(L8&gt;=79,"2.50",IF(L8&gt;=76,"2.75",IF(L8&gt;=75,"3.00","5.00"))))))))))</f>
        <v/>
      </c>
      <c r="N8" s="2" t="str">
        <f>IF(L8="","Incomplete",IF(L8&gt;=75,"Passed","Failed"))</f>
        <v>Incomplete</v>
      </c>
      <c r="O8" s="2" t="s">
        <v>46</v>
      </c>
    </row>
  </sheetData>
  <sheetProtection sheet="1" insertColumns="1" insertRows="1" deleteColumns="1" deleteRow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s="6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  <row r="7" spans="1:1">
      <c r="A7" t="s">
        <v>52</v>
      </c>
    </row>
    <row r="8" spans="1:1">
      <c r="A8" t="s">
        <v>53</v>
      </c>
    </row>
    <row r="10" spans="1:1">
      <c r="A1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Mentora</dc:creator>
  <cp:lastModifiedBy>Unknown Creator</cp:lastModifiedBy>
  <dcterms:created xsi:type="dcterms:W3CDTF">2026-09-29T02:03:10+00:00</dcterms:created>
  <dcterms:modified xsi:type="dcterms:W3CDTF">2026-09-29T02:03:10+00:00</dcterms:modified>
  <dc:title>Grade sheet</dc:title>
  <dc:description>Mentora offline grade sheet — only the white score columns are editable.</dc:description>
  <dc:subject/>
  <cp:keywords/>
  <cp:category/>
</cp:coreProperties>
</file>